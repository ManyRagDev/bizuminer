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missas" sheetId="1" state="visible" r:id="rId3"/>
    <sheet name="Unit Economics" sheetId="2" state="visible" r:id="rId4"/>
    <sheet name="Break-even" sheetId="3" state="visible" r:id="rId5"/>
    <sheet name="Cenários" sheetId="4" state="visible" r:id="rId6"/>
    <sheet name="Construção 90 di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<sst xmlns="http://schemas.openxmlformats.org/spreadsheetml/2006/main" count="131" uniqueCount="116">
  <si>
    <t xml:space="preserve">Premissas do modelo</t>
  </si>
  <si>
    <t xml:space="preserve">Edite apenas as células AMARELAS. Todo o resto é calculado a partir delas.</t>
  </si>
  <si>
    <t xml:space="preserve">RECEITA</t>
  </si>
  <si>
    <t xml:space="preserve">Ticket médio mensal por cliente</t>
  </si>
  <si>
    <t xml:space="preserve">Plano Pro como carro-chefe. Premissa não validada.</t>
  </si>
  <si>
    <t xml:space="preserve">Churn mensal</t>
  </si>
  <si>
    <t xml:space="preserve">Benchmark de SaaS B2B brasileiro, não do nosso nicho.</t>
  </si>
  <si>
    <t xml:space="preserve">CUSTOS VARIÁVEIS POR CLIENTE</t>
  </si>
  <si>
    <t xml:space="preserve">Taxa percentual do gateway</t>
  </si>
  <si>
    <t xml:space="preserve">Stripe Brasil: 3,9% + R$0,39 por transação bem-sucedida.</t>
  </si>
  <si>
    <t xml:space="preserve">Taxa fixa do gateway</t>
  </si>
  <si>
    <t xml:space="preserve">Alíquota do Simples COM Fator R (Anexo III)</t>
  </si>
  <si>
    <t xml:space="preserve">Faixa de R$240 mil/ano. Na 1a faixa (ate R$180 mil/ano) e 6,0%.</t>
  </si>
  <si>
    <t xml:space="preserve">Alíquota do Simples SEM Fator R (Anexo V)</t>
  </si>
  <si>
    <t xml:space="preserve">1a faixa do Anexo V. Usada quando a folha fica abaixo de 28% da receita.</t>
  </si>
  <si>
    <t xml:space="preserve">Infraestrutura variável por cliente</t>
  </si>
  <si>
    <t xml:space="preserve">Sem sessão de WhatsApp conectada, o custo por cliente é mínimo.</t>
  </si>
  <si>
    <t xml:space="preserve">CUSTOS FIXOS MENSAIS</t>
  </si>
  <si>
    <t xml:space="preserve">VPS (aplicação, banco e workers)</t>
  </si>
  <si>
    <t xml:space="preserve">Hetzner CX42 16GB ≈ R$96. Folga incluída.</t>
  </si>
  <si>
    <t xml:space="preserve">Proxies residenciais</t>
  </si>
  <si>
    <t xml:space="preserve">Uso reduzido: Shopee e Awin são API oficial.</t>
  </si>
  <si>
    <t xml:space="preserve">Contabilidade</t>
  </si>
  <si>
    <t xml:space="preserve">Observabilidade e ferramentas</t>
  </si>
  <si>
    <t xml:space="preserve">Domínio e e-mail transacional</t>
  </si>
  <si>
    <t xml:space="preserve">Total de custos fixos mensais</t>
  </si>
  <si>
    <t xml:space="preserve">REMUNERAÇÃO DOS SÓCIOS</t>
  </si>
  <si>
    <t xml:space="preserve">Pró-labore mensal por sócio</t>
  </si>
  <si>
    <t xml:space="preserve">Número de sócios com pró-labore</t>
  </si>
  <si>
    <t xml:space="preserve">Total de pró-labore</t>
  </si>
  <si>
    <t xml:space="preserve">O Fator R exige folha ≥28% da receita para manter o Anexo III.</t>
  </si>
  <si>
    <t xml:space="preserve">AQUISIÇÃO — NOVOS CLIENTES POR MÊS</t>
  </si>
  <si>
    <t xml:space="preserve">Cenário conservador</t>
  </si>
  <si>
    <t xml:space="preserve">Cenário base</t>
  </si>
  <si>
    <t xml:space="preserve">Cenário otimista</t>
  </si>
  <si>
    <t xml:space="preserve">Estimativa. Substituir por dado real após os primeiros 60 dias.</t>
  </si>
  <si>
    <t xml:space="preserve">PARÂMETROS DE REFERÊNCIA</t>
  </si>
  <si>
    <t xml:space="preserve">Múltiplo LTV:CAC alvo</t>
  </si>
  <si>
    <t xml:space="preserve">Benchmark: &gt;=3:1 e saudavel; 4 a 6:1 e excelente.</t>
  </si>
  <si>
    <t xml:space="preserve">Churn alternativo para teste de sensibilidade</t>
  </si>
  <si>
    <t xml:space="preserve">Micro-SaaS de ticket baixo para criadores costuma ficar entre 4% e 8%.</t>
  </si>
  <si>
    <t xml:space="preserve">Fator R: folha minima exigida sobre a receita</t>
  </si>
  <si>
    <t xml:space="preserve">Abaixo disso a empresa cai no Anexo V e a margem encolhe.</t>
  </si>
  <si>
    <t xml:space="preserve">LEGENDA</t>
  </si>
  <si>
    <t xml:space="preserve">Amarelo com texto azul = entrada editável   •   Preto = fórmula   •   Verde = valor de outra aba</t>
  </si>
  <si>
    <t xml:space="preserve">Unit economics por cliente</t>
  </si>
  <si>
    <t xml:space="preserve">Calculado a partir da aba Premissas. Verde indica valor vindo de outra aba.</t>
  </si>
  <si>
    <t xml:space="preserve">COMPOSIÇÃO DA MARGEM</t>
  </si>
  <si>
    <t xml:space="preserve">Receita mensal por cliente</t>
  </si>
  <si>
    <t xml:space="preserve">Taxa do gateway</t>
  </si>
  <si>
    <t xml:space="preserve">Simples Nacional</t>
  </si>
  <si>
    <t xml:space="preserve">Infraestrutura variável</t>
  </si>
  <si>
    <t xml:space="preserve">Margem de contribuição por cliente</t>
  </si>
  <si>
    <t xml:space="preserve">Margem de contribuição (%)</t>
  </si>
  <si>
    <t xml:space="preserve">VALOR DO CLIENTE</t>
  </si>
  <si>
    <t xml:space="preserve">Tempo médio de permanência (meses)</t>
  </si>
  <si>
    <t xml:space="preserve">Inverso do churn mensal.</t>
  </si>
  <si>
    <t xml:space="preserve">LTV — valor total do cliente</t>
  </si>
  <si>
    <t xml:space="preserve">CAC máximo sustentável</t>
  </si>
  <si>
    <t xml:space="preserve">Teto de gasto para adquirir um cliente mantendo o multiplo alvo.</t>
  </si>
  <si>
    <t xml:space="preserve">TESTE DE SENSIBILIDADE</t>
  </si>
  <si>
    <t xml:space="preserve">Margem SEM Fator R (Anexo V)</t>
  </si>
  <si>
    <t xml:space="preserve">Cenario em que a folha nao atinge 28% da receita.</t>
  </si>
  <si>
    <t xml:space="preserve">LTV com churn alternativo</t>
  </si>
  <si>
    <t xml:space="preserve">CAC máximo com churn alternativo</t>
  </si>
  <si>
    <t xml:space="preserve">Se o churn real for o do segmento de criadores, o teto de CAC cai pela metade.</t>
  </si>
  <si>
    <t xml:space="preserve">Receita máxima que o pró-labore atual sustenta no Fator R</t>
  </si>
  <si>
    <t xml:space="preserve">Acima desta receita, e preciso aumentar a folha ou perder o Anexo III.</t>
  </si>
  <si>
    <t xml:space="preserve">Ponto de equilíbrio</t>
  </si>
  <si>
    <t xml:space="preserve">Quantos clientes pagantes são necessários em cada nível de compromisso.</t>
  </si>
  <si>
    <t xml:space="preserve">BASE DE CÁLCULO</t>
  </si>
  <si>
    <t xml:space="preserve">Custo fixo mensal</t>
  </si>
  <si>
    <t xml:space="preserve">Pró-labore total</t>
  </si>
  <si>
    <t xml:space="preserve">CLIENTES NECESSÁRIOS</t>
  </si>
  <si>
    <t xml:space="preserve">Para cobrir o custo operacional (COM Fator R)</t>
  </si>
  <si>
    <t xml:space="preserve">So valido se houver folha &gt;=28% da receita. Sem pro-labore, use a linha da secao Sensibilidade.</t>
  </si>
  <si>
    <t xml:space="preserve">Para cobrir custo operacional + pró-labore</t>
  </si>
  <si>
    <t xml:space="preserve">A partir daqui o negócio remunera os sócios.</t>
  </si>
  <si>
    <t xml:space="preserve">Receita mensal no ponto de equilíbrio operacional</t>
  </si>
  <si>
    <t xml:space="preserve">SENSIBILIDADE</t>
  </si>
  <si>
    <t xml:space="preserve">Para cobrir o custo operacional SEM pró-labore (Anexo V)</t>
  </si>
  <si>
    <t xml:space="preserve">Sem folha nao ha Fator R. Este e o numero honesto para o cenario sem pro-labore.</t>
  </si>
  <si>
    <t xml:space="preserve">Clientes para custo + pró-labore, com churn alternativo</t>
  </si>
  <si>
    <t xml:space="preserve">O break-even nao muda com churn; o que muda e o tempo para chegar la.</t>
  </si>
  <si>
    <t xml:space="preserve">Projeção de 12 meses após o lançamento</t>
  </si>
  <si>
    <t xml:space="preserve">Três cenários de aquisição. Resultado é operacional, antes de pró-labore.</t>
  </si>
  <si>
    <t xml:space="preserve">CONSERVADOR</t>
  </si>
  <si>
    <t xml:space="preserve">BASE</t>
  </si>
  <si>
    <t xml:space="preserve">OTIMISTA</t>
  </si>
  <si>
    <t xml:space="preserve">Mês</t>
  </si>
  <si>
    <t xml:space="preserve">Clientes</t>
  </si>
  <si>
    <t xml:space="preserve">Receita</t>
  </si>
  <si>
    <t xml:space="preserve">Resultado</t>
  </si>
  <si>
    <t xml:space="preserve">Clientes = base do mês anterior menos churn, mais novos clientes do cenário.</t>
  </si>
  <si>
    <t xml:space="preserve">Resultado = margem de contribuição total menos custo fixo. Não inclui pró-labore.</t>
  </si>
  <si>
    <t xml:space="preserve">As taxas de aquisição são premissa, não previsão. Ajuste na aba Premissas assim que houver dado real.</t>
  </si>
  <si>
    <t xml:space="preserve">Desembolso do período de construção</t>
  </si>
  <si>
    <t xml:space="preserve">Custo em caixa dos 90 dias até o lançamento. Não inclui remuneração dos sócios.</t>
  </si>
  <si>
    <t xml:space="preserve">Item</t>
  </si>
  <si>
    <t xml:space="preserve">Mínimo</t>
  </si>
  <si>
    <t xml:space="preserve">Máximo</t>
  </si>
  <si>
    <t xml:space="preserve">Observação</t>
  </si>
  <si>
    <t xml:space="preserve">Abertura de CNPJ e contabilidade (3 meses)</t>
  </si>
  <si>
    <t xml:space="preserve">Abertura ~R$1.500 + R$300/mês.</t>
  </si>
  <si>
    <t xml:space="preserve">Assessoria jurídica</t>
  </si>
  <si>
    <t xml:space="preserve">Acordo de quotistas e parecer sobre canais. Faixa ampla.</t>
  </si>
  <si>
    <t xml:space="preserve">Infraestrutura durante o desenvolvimento</t>
  </si>
  <si>
    <t xml:space="preserve">VPS pequena por 3 meses.</t>
  </si>
  <si>
    <t xml:space="preserve">Domínio, e-mail e ferramentas</t>
  </si>
  <si>
    <t xml:space="preserve">Maior parte em free tier.</t>
  </si>
  <si>
    <t xml:space="preserve">Reserva para imprevistos</t>
  </si>
  <si>
    <t xml:space="preserve">Estimativa própria.</t>
  </si>
  <si>
    <t xml:space="preserve">Total</t>
  </si>
  <si>
    <t xml:space="preserve">COMPARAÇÃO</t>
  </si>
  <si>
    <t xml:space="preserve">Meses de custo fixo cobertos pelo desembolso máximo</t>
  </si>
  <si>
    <t xml:space="preserve">Quanto tempo o valor da construção sustentaria a operação já no 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</si>
</sst>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%"/>
    <numFmt numFmtId="167" formatCode="&quot;R$ &quot;#,##0;&quot;(R$ &quot;#,##0\);\-"/>
    <numFmt numFmtId="168" formatCode="#,##0"/>
    <numFmt numFmtId="169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1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E8590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1A1E"/>
        <bgColor rgb="FF333300"/>
      </patternFill>
    </fill>
    <fill>
      <patternFill patternType="solid">
        <fgColor rgb="FFF2F2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90C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97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0.03</v>
      </c>
      <c r="C6" s="6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4" t="s">
        <v>8</v>
      </c>
      <c r="B9" s="7" t="n">
        <v>0.039</v>
      </c>
      <c r="C9" s="6" t="s">
        <v>9</v>
      </c>
    </row>
    <row r="10" customFormat="false" ht="15" hidden="false" customHeight="false" outlineLevel="0" collapsed="false">
      <c r="A10" s="4" t="s">
        <v>10</v>
      </c>
      <c r="B10" s="5" t="n">
        <v>0.39</v>
      </c>
    </row>
    <row r="11" customFormat="false" ht="15" hidden="false" customHeight="false" outlineLevel="0" collapsed="false">
      <c r="A11" s="4" t="s">
        <v>11</v>
      </c>
      <c r="B11" s="7" t="n">
        <v>0.073</v>
      </c>
      <c r="C11" s="6" t="s">
        <v>12</v>
      </c>
    </row>
    <row r="12" customFormat="false" ht="15" hidden="false" customHeight="false" outlineLevel="0" collapsed="false">
      <c r="A12" s="4" t="s">
        <v>13</v>
      </c>
      <c r="B12" s="7" t="n">
        <v>0.155</v>
      </c>
      <c r="C12" s="6" t="s">
        <v>14</v>
      </c>
    </row>
    <row r="13" customFormat="false" ht="15" hidden="false" customHeight="false" outlineLevel="0" collapsed="false">
      <c r="A13" s="4" t="s">
        <v>15</v>
      </c>
      <c r="B13" s="5" t="n">
        <v>1.5</v>
      </c>
      <c r="C13" s="6" t="s">
        <v>16</v>
      </c>
    </row>
    <row r="15" customFormat="false" ht="15" hidden="false" customHeight="false" outlineLevel="0" collapsed="false">
      <c r="A15" s="3" t="s">
        <v>17</v>
      </c>
    </row>
    <row r="16" customFormat="false" ht="15" hidden="false" customHeight="false" outlineLevel="0" collapsed="false">
      <c r="A16" s="4" t="s">
        <v>18</v>
      </c>
      <c r="B16" s="8" t="n">
        <v>150</v>
      </c>
      <c r="C16" s="6" t="s">
        <v>19</v>
      </c>
    </row>
    <row r="17" customFormat="false" ht="15" hidden="false" customHeight="false" outlineLevel="0" collapsed="false">
      <c r="A17" s="4" t="s">
        <v>20</v>
      </c>
      <c r="B17" s="8" t="n">
        <v>150</v>
      </c>
      <c r="C17" s="6" t="s">
        <v>21</v>
      </c>
    </row>
    <row r="18" customFormat="false" ht="15" hidden="false" customHeight="false" outlineLevel="0" collapsed="false">
      <c r="A18" s="4" t="s">
        <v>22</v>
      </c>
      <c r="B18" s="8" t="n">
        <v>300</v>
      </c>
    </row>
    <row r="19" customFormat="false" ht="15" hidden="false" customHeight="false" outlineLevel="0" collapsed="false">
      <c r="A19" s="4" t="s">
        <v>23</v>
      </c>
      <c r="B19" s="8" t="n">
        <v>200</v>
      </c>
    </row>
    <row r="20" customFormat="false" ht="15" hidden="false" customHeight="false" outlineLevel="0" collapsed="false">
      <c r="A20" s="4" t="s">
        <v>24</v>
      </c>
      <c r="B20" s="8" t="n">
        <v>50</v>
      </c>
    </row>
    <row r="21" customFormat="false" ht="15" hidden="false" customHeight="false" outlineLevel="0" collapsed="false">
      <c r="A21" s="9" t="s">
        <v>25</v>
      </c>
      <c r="B21" s="10" t="n">
        <f aca="false">SUM(B16:B20)</f>
        <v>850</v>
      </c>
    </row>
    <row r="23" customFormat="false" ht="15" hidden="false" customHeight="false" outlineLevel="0" collapsed="false">
      <c r="A23" s="3" t="s">
        <v>26</v>
      </c>
    </row>
    <row r="24" customFormat="false" ht="15" hidden="false" customHeight="false" outlineLevel="0" collapsed="false">
      <c r="A24" s="4" t="s">
        <v>27</v>
      </c>
      <c r="B24" s="8" t="n">
        <v>3000</v>
      </c>
    </row>
    <row r="25" customFormat="false" ht="15" hidden="false" customHeight="false" outlineLevel="0" collapsed="false">
      <c r="A25" s="4" t="s">
        <v>28</v>
      </c>
      <c r="B25" s="11" t="n">
        <v>2</v>
      </c>
    </row>
    <row r="26" customFormat="false" ht="15" hidden="false" customHeight="false" outlineLevel="0" collapsed="false">
      <c r="A26" s="9" t="s">
        <v>29</v>
      </c>
      <c r="B26" s="10" t="n">
        <f aca="false">B24*B25</f>
        <v>6000</v>
      </c>
      <c r="C26" s="6" t="s">
        <v>30</v>
      </c>
    </row>
    <row r="28" customFormat="false" ht="15" hidden="false" customHeight="false" outlineLevel="0" collapsed="false">
      <c r="A28" s="3" t="s">
        <v>31</v>
      </c>
    </row>
    <row r="29" customFormat="false" ht="15" hidden="false" customHeight="false" outlineLevel="0" collapsed="false">
      <c r="A29" s="4" t="s">
        <v>32</v>
      </c>
      <c r="B29" s="11" t="n">
        <v>5</v>
      </c>
    </row>
    <row r="30" customFormat="false" ht="15" hidden="false" customHeight="false" outlineLevel="0" collapsed="false">
      <c r="A30" s="4" t="s">
        <v>33</v>
      </c>
      <c r="B30" s="11" t="n">
        <v>15</v>
      </c>
    </row>
    <row r="31" customFormat="false" ht="15" hidden="false" customHeight="false" outlineLevel="0" collapsed="false">
      <c r="A31" s="4" t="s">
        <v>34</v>
      </c>
      <c r="B31" s="11" t="n">
        <v>35</v>
      </c>
      <c r="C31" s="6" t="s">
        <v>35</v>
      </c>
    </row>
    <row r="33" customFormat="false" ht="15" hidden="false" customHeight="false" outlineLevel="0" collapsed="false">
      <c r="A33" s="3" t="s">
        <v>36</v>
      </c>
    </row>
    <row r="34" customFormat="false" ht="15" hidden="false" customHeight="false" outlineLevel="0" collapsed="false">
      <c r="A34" s="4" t="s">
        <v>37</v>
      </c>
      <c r="B34" s="11" t="n">
        <v>3</v>
      </c>
      <c r="C34" s="6" t="s">
        <v>38</v>
      </c>
    </row>
    <row r="35" customFormat="false" ht="15" hidden="false" customHeight="false" outlineLevel="0" collapsed="false">
      <c r="A35" s="4" t="s">
        <v>39</v>
      </c>
      <c r="B35" s="7" t="n">
        <v>0.06</v>
      </c>
      <c r="C35" s="6" t="s">
        <v>40</v>
      </c>
    </row>
    <row r="36" customFormat="false" ht="15" hidden="false" customHeight="false" outlineLevel="0" collapsed="false">
      <c r="A36" s="4" t="s">
        <v>41</v>
      </c>
      <c r="B36" s="7" t="n">
        <v>0.28</v>
      </c>
      <c r="C36" s="6" t="s">
        <v>42</v>
      </c>
    </row>
    <row r="39" customFormat="false" ht="15" hidden="false" customHeight="false" outlineLevel="0" collapsed="false">
      <c r="A39" s="12" t="s">
        <v>43</v>
      </c>
    </row>
    <row r="40" customFormat="false" ht="15" hidden="false" customHeight="false" outlineLevel="0" collapsed="false">
      <c r="A40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8.5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</row>
    <row r="5" customFormat="false" ht="15" hidden="false" customHeight="false" outlineLevel="0" collapsed="false">
      <c r="A5" s="4" t="s">
        <v>48</v>
      </c>
      <c r="B5" s="13" t="n">
        <f aca="false">Premissas!B5</f>
        <v>97</v>
      </c>
    </row>
    <row r="6" customFormat="false" ht="15" hidden="false" customHeight="false" outlineLevel="0" collapsed="false">
      <c r="A6" s="4" t="s">
        <v>49</v>
      </c>
      <c r="B6" s="14" t="n">
        <f aca="false">-(Premissas!B5*Premissas!B9+Premissas!B10)</f>
        <v>-4.173</v>
      </c>
    </row>
    <row r="7" customFormat="false" ht="15" hidden="false" customHeight="false" outlineLevel="0" collapsed="false">
      <c r="A7" s="4" t="s">
        <v>50</v>
      </c>
      <c r="B7" s="14" t="n">
        <f aca="false">-(Premissas!B5*Premissas!B11)</f>
        <v>-7.081</v>
      </c>
    </row>
    <row r="8" customFormat="false" ht="15" hidden="false" customHeight="false" outlineLevel="0" collapsed="false">
      <c r="A8" s="4" t="s">
        <v>51</v>
      </c>
      <c r="B8" s="14" t="n">
        <f aca="false">-Premissas!B13</f>
        <v>-1.5</v>
      </c>
    </row>
    <row r="9" customFormat="false" ht="15" hidden="false" customHeight="false" outlineLevel="0" collapsed="false">
      <c r="A9" s="9" t="s">
        <v>52</v>
      </c>
      <c r="B9" s="15" t="n">
        <f aca="false">SUM(B5:B8)</f>
        <v>84.246</v>
      </c>
    </row>
    <row r="10" customFormat="false" ht="15" hidden="false" customHeight="false" outlineLevel="0" collapsed="false">
      <c r="A10" s="4" t="s">
        <v>53</v>
      </c>
      <c r="B10" s="16" t="n">
        <f aca="false">B9/B5</f>
        <v>0.868515463917526</v>
      </c>
    </row>
    <row r="12" customFormat="false" ht="15" hidden="false" customHeight="false" outlineLevel="0" collapsed="false">
      <c r="A12" s="3" t="s">
        <v>54</v>
      </c>
    </row>
    <row r="13" customFormat="false" ht="15" hidden="false" customHeight="false" outlineLevel="0" collapsed="false">
      <c r="A13" s="4" t="s">
        <v>55</v>
      </c>
      <c r="B13" s="17" t="n">
        <f aca="false">1/Premissas!B6</f>
        <v>33.3333333333333</v>
      </c>
      <c r="C13" s="6" t="s">
        <v>56</v>
      </c>
    </row>
    <row r="14" customFormat="false" ht="15" hidden="false" customHeight="false" outlineLevel="0" collapsed="false">
      <c r="A14" s="9" t="s">
        <v>57</v>
      </c>
      <c r="B14" s="10" t="n">
        <f aca="false">B9/Premissas!B6</f>
        <v>2808.2</v>
      </c>
    </row>
    <row r="15" customFormat="false" ht="15" hidden="false" customHeight="false" outlineLevel="0" collapsed="false">
      <c r="A15" s="9" t="s">
        <v>58</v>
      </c>
      <c r="B15" s="10" t="n">
        <f aca="false">B14/Premissas!B34</f>
        <v>936.066666666667</v>
      </c>
      <c r="C15" s="6" t="s">
        <v>59</v>
      </c>
    </row>
    <row r="17" customFormat="false" ht="15" hidden="false" customHeight="false" outlineLevel="0" collapsed="false">
      <c r="A17" s="3" t="s">
        <v>60</v>
      </c>
    </row>
    <row r="18" customFormat="false" ht="15" hidden="false" customHeight="false" outlineLevel="0" collapsed="false">
      <c r="A18" s="4" t="s">
        <v>61</v>
      </c>
      <c r="B18" s="14" t="n">
        <f aca="false">Premissas!B5-(Premissas!B5*Premissas!B9+Premissas!B10)-(Premissas!B5*Premissas!B12)-Premissas!B13</f>
        <v>76.292</v>
      </c>
      <c r="C18" s="6" t="s">
        <v>62</v>
      </c>
    </row>
    <row r="19" customFormat="false" ht="15" hidden="false" customHeight="false" outlineLevel="0" collapsed="false">
      <c r="A19" s="4" t="s">
        <v>63</v>
      </c>
      <c r="B19" s="18" t="n">
        <f aca="false">B9/Premissas!B35</f>
        <v>1404.1</v>
      </c>
    </row>
    <row r="20" customFormat="false" ht="15" hidden="false" customHeight="false" outlineLevel="0" collapsed="false">
      <c r="A20" s="4" t="s">
        <v>64</v>
      </c>
      <c r="B20" s="18" t="n">
        <f aca="false">B19/Premissas!B34</f>
        <v>468.033333333333</v>
      </c>
      <c r="C20" s="6" t="s">
        <v>65</v>
      </c>
    </row>
    <row r="21" customFormat="false" ht="15" hidden="false" customHeight="false" outlineLevel="0" collapsed="false">
      <c r="A21" s="4" t="s">
        <v>66</v>
      </c>
      <c r="B21" s="18" t="n">
        <f aca="false">Premissas!B26/Premissas!B36</f>
        <v>21428.5714285714</v>
      </c>
      <c r="C21" s="6" t="s">
        <v>67</v>
      </c>
    </row>
    <row r="24" customFormat="false" ht="15" hidden="false" customHeight="false" outlineLevel="0" collapsed="false">
      <c r="A24" s="12" t="s">
        <v>43</v>
      </c>
    </row>
    <row r="25" customFormat="false" ht="15" hidden="false" customHeight="false" outlineLevel="0" collapsed="false">
      <c r="A25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8.5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3" t="s">
        <v>70</v>
      </c>
    </row>
    <row r="5" customFormat="false" ht="15" hidden="false" customHeight="false" outlineLevel="0" collapsed="false">
      <c r="A5" s="4" t="s">
        <v>52</v>
      </c>
      <c r="B5" s="13" t="n">
        <f aca="false">'Unit Economics'!B9</f>
        <v>84.246</v>
      </c>
    </row>
    <row r="6" customFormat="false" ht="15" hidden="false" customHeight="false" outlineLevel="0" collapsed="false">
      <c r="A6" s="4" t="s">
        <v>71</v>
      </c>
      <c r="B6" s="19" t="n">
        <f aca="false">Premissas!B21</f>
        <v>850</v>
      </c>
    </row>
    <row r="7" customFormat="false" ht="15" hidden="false" customHeight="false" outlineLevel="0" collapsed="false">
      <c r="A7" s="4" t="s">
        <v>72</v>
      </c>
      <c r="B7" s="19" t="n">
        <f aca="false">Premissas!B26</f>
        <v>6000</v>
      </c>
    </row>
    <row r="9" customFormat="false" ht="15" hidden="false" customHeight="false" outlineLevel="0" collapsed="false">
      <c r="A9" s="3" t="s">
        <v>73</v>
      </c>
    </row>
    <row r="10" customFormat="false" ht="15" hidden="false" customHeight="false" outlineLevel="0" collapsed="false">
      <c r="A10" s="9" t="s">
        <v>74</v>
      </c>
      <c r="B10" s="20" t="n">
        <f aca="false">ROUNDUP(B6/B5,0)</f>
        <v>11</v>
      </c>
      <c r="C10" s="6" t="s">
        <v>75</v>
      </c>
    </row>
    <row r="11" customFormat="false" ht="15" hidden="false" customHeight="false" outlineLevel="0" collapsed="false">
      <c r="A11" s="9" t="s">
        <v>76</v>
      </c>
      <c r="B11" s="20" t="n">
        <f aca="false">ROUNDUP((B6+B7)/B5,0)</f>
        <v>82</v>
      </c>
      <c r="C11" s="6" t="s">
        <v>77</v>
      </c>
    </row>
    <row r="12" customFormat="false" ht="15" hidden="false" customHeight="false" outlineLevel="0" collapsed="false">
      <c r="A12" s="4" t="s">
        <v>78</v>
      </c>
      <c r="B12" s="18" t="n">
        <f aca="false">B10*Premissas!B5</f>
        <v>1067</v>
      </c>
    </row>
    <row r="14" customFormat="false" ht="15" hidden="false" customHeight="false" outlineLevel="0" collapsed="false">
      <c r="A14" s="3" t="s">
        <v>79</v>
      </c>
    </row>
    <row r="15" customFormat="false" ht="15" hidden="false" customHeight="false" outlineLevel="0" collapsed="false">
      <c r="A15" s="4" t="s">
        <v>80</v>
      </c>
      <c r="B15" s="21" t="n">
        <f aca="false">ROUNDUP(B6/'Unit Economics'!B18,0)</f>
        <v>12</v>
      </c>
      <c r="C15" s="6" t="s">
        <v>81</v>
      </c>
    </row>
    <row r="16" customFormat="false" ht="15" hidden="false" customHeight="false" outlineLevel="0" collapsed="false">
      <c r="A16" s="4" t="s">
        <v>82</v>
      </c>
      <c r="B16" s="21" t="n">
        <f aca="false">ROUNDUP((B6+B7)/B5,0)</f>
        <v>82</v>
      </c>
      <c r="C16" s="6" t="s">
        <v>83</v>
      </c>
    </row>
    <row r="19" customFormat="false" ht="15" hidden="false" customHeight="false" outlineLevel="0" collapsed="false">
      <c r="A19" s="12" t="s">
        <v>43</v>
      </c>
    </row>
    <row r="20" customFormat="false" ht="15" hidden="false" customHeight="false" outlineLevel="0" collapsed="false">
      <c r="A20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10" min="2" style="0" width="15"/>
  </cols>
  <sheetData>
    <row r="1" customFormat="false" ht="18.5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B3" s="22" t="s">
        <v>86</v>
      </c>
      <c r="C3" s="22"/>
      <c r="D3" s="22"/>
      <c r="E3" s="22" t="s">
        <v>87</v>
      </c>
      <c r="F3" s="22"/>
      <c r="G3" s="22"/>
      <c r="H3" s="22" t="s">
        <v>88</v>
      </c>
      <c r="I3" s="22"/>
      <c r="J3" s="22"/>
    </row>
    <row r="4" customFormat="false" ht="15" hidden="false" customHeight="false" outlineLevel="0" collapsed="false">
      <c r="A4" s="23" t="s">
        <v>89</v>
      </c>
      <c r="B4" s="23" t="s">
        <v>90</v>
      </c>
      <c r="C4" s="23" t="s">
        <v>91</v>
      </c>
      <c r="D4" s="23" t="s">
        <v>92</v>
      </c>
      <c r="E4" s="23" t="s">
        <v>90</v>
      </c>
      <c r="F4" s="23" t="s">
        <v>91</v>
      </c>
      <c r="G4" s="23" t="s">
        <v>92</v>
      </c>
      <c r="H4" s="23" t="s">
        <v>90</v>
      </c>
      <c r="I4" s="23" t="s">
        <v>91</v>
      </c>
      <c r="J4" s="23" t="s">
        <v>92</v>
      </c>
    </row>
    <row r="5" customFormat="false" ht="15" hidden="false" customHeight="false" outlineLevel="0" collapsed="false">
      <c r="A5" s="24" t="n">
        <v>1</v>
      </c>
      <c r="B5" s="21" t="n">
        <f aca="false">Premissas!$B$29</f>
        <v>5</v>
      </c>
      <c r="C5" s="18" t="n">
        <f aca="false">B5*Premissas!$B$5</f>
        <v>485</v>
      </c>
      <c r="D5" s="18" t="n">
        <f aca="false">B5*'Unit Economics'!$B$9-Premissas!$B$21</f>
        <v>-428.77</v>
      </c>
      <c r="E5" s="21" t="n">
        <f aca="false">Premissas!$B$30</f>
        <v>15</v>
      </c>
      <c r="F5" s="18" t="n">
        <f aca="false">E5*Premissas!$B$5</f>
        <v>1455</v>
      </c>
      <c r="G5" s="18" t="n">
        <f aca="false">E5*'Unit Economics'!$B$9-Premissas!$B$21</f>
        <v>413.69</v>
      </c>
      <c r="H5" s="21" t="n">
        <f aca="false">Premissas!$B$31</f>
        <v>35</v>
      </c>
      <c r="I5" s="18" t="n">
        <f aca="false">H5*Premissas!$B$5</f>
        <v>3395</v>
      </c>
      <c r="J5" s="18" t="n">
        <f aca="false">H5*'Unit Economics'!$B$9-Premissas!$B$21</f>
        <v>2098.61</v>
      </c>
    </row>
    <row r="6" customFormat="false" ht="15" hidden="false" customHeight="false" outlineLevel="0" collapsed="false">
      <c r="A6" s="24" t="n">
        <v>2</v>
      </c>
      <c r="B6" s="21" t="n">
        <f aca="false">B5*(1-Premissas!$B$6)+Premissas!$B$29</f>
        <v>9.85</v>
      </c>
      <c r="C6" s="18" t="n">
        <f aca="false">B6*Premissas!$B$5</f>
        <v>955.45</v>
      </c>
      <c r="D6" s="18" t="n">
        <f aca="false">B6*'Unit Economics'!$B$9-Premissas!$B$21</f>
        <v>-20.1769</v>
      </c>
      <c r="E6" s="21" t="n">
        <f aca="false">E5*(1-Premissas!$B$6)+Premissas!$B$30</f>
        <v>29.55</v>
      </c>
      <c r="F6" s="18" t="n">
        <f aca="false">E6*Premissas!$B$5</f>
        <v>2866.35</v>
      </c>
      <c r="G6" s="18" t="n">
        <f aca="false">E6*'Unit Economics'!$B$9-Premissas!$B$21</f>
        <v>1639.4693</v>
      </c>
      <c r="H6" s="21" t="n">
        <f aca="false">H5*(1-Premissas!$B$6)+Premissas!$B$31</f>
        <v>68.95</v>
      </c>
      <c r="I6" s="18" t="n">
        <f aca="false">H6*Premissas!$B$5</f>
        <v>6688.15</v>
      </c>
      <c r="J6" s="18" t="n">
        <f aca="false">H6*'Unit Economics'!$B$9-Premissas!$B$21</f>
        <v>4958.7617</v>
      </c>
    </row>
    <row r="7" customFormat="false" ht="15" hidden="false" customHeight="false" outlineLevel="0" collapsed="false">
      <c r="A7" s="24" t="n">
        <v>3</v>
      </c>
      <c r="B7" s="21" t="n">
        <f aca="false">B6*(1-Premissas!$B$6)+Premissas!$B$29</f>
        <v>14.5545</v>
      </c>
      <c r="C7" s="18" t="n">
        <f aca="false">B7*Premissas!$B$5</f>
        <v>1411.7865</v>
      </c>
      <c r="D7" s="18" t="n">
        <f aca="false">B7*'Unit Economics'!$B$9-Premissas!$B$21</f>
        <v>376.158407</v>
      </c>
      <c r="E7" s="21" t="n">
        <f aca="false">E6*(1-Premissas!$B$6)+Premissas!$B$30</f>
        <v>43.6635</v>
      </c>
      <c r="F7" s="18" t="n">
        <f aca="false">E7*Premissas!$B$5</f>
        <v>4235.3595</v>
      </c>
      <c r="G7" s="18" t="n">
        <f aca="false">E7*'Unit Economics'!$B$9-Premissas!$B$21</f>
        <v>2828.475221</v>
      </c>
      <c r="H7" s="21" t="n">
        <f aca="false">H6*(1-Premissas!$B$6)+Premissas!$B$31</f>
        <v>101.8815</v>
      </c>
      <c r="I7" s="18" t="n">
        <f aca="false">H7*Premissas!$B$5</f>
        <v>9882.5055</v>
      </c>
      <c r="J7" s="18" t="n">
        <f aca="false">H7*'Unit Economics'!$B$9-Premissas!$B$21</f>
        <v>7733.108849</v>
      </c>
    </row>
    <row r="8" customFormat="false" ht="15" hidden="false" customHeight="false" outlineLevel="0" collapsed="false">
      <c r="A8" s="24" t="n">
        <v>4</v>
      </c>
      <c r="B8" s="21" t="n">
        <f aca="false">B7*(1-Premissas!$B$6)+Premissas!$B$29</f>
        <v>19.117865</v>
      </c>
      <c r="C8" s="18" t="n">
        <f aca="false">B8*Premissas!$B$5</f>
        <v>1854.432905</v>
      </c>
      <c r="D8" s="18" t="n">
        <f aca="false">B8*'Unit Economics'!$B$9-Premissas!$B$21</f>
        <v>760.60365479</v>
      </c>
      <c r="E8" s="21" t="n">
        <f aca="false">E7*(1-Premissas!$B$6)+Premissas!$B$30</f>
        <v>57.353595</v>
      </c>
      <c r="F8" s="18" t="n">
        <f aca="false">E8*Premissas!$B$5</f>
        <v>5563.298715</v>
      </c>
      <c r="G8" s="18" t="n">
        <f aca="false">E8*'Unit Economics'!$B$9-Premissas!$B$21</f>
        <v>3981.81096437</v>
      </c>
      <c r="H8" s="21" t="n">
        <f aca="false">H7*(1-Premissas!$B$6)+Premissas!$B$31</f>
        <v>133.825055</v>
      </c>
      <c r="I8" s="18" t="n">
        <f aca="false">H8*Premissas!$B$5</f>
        <v>12981.030335</v>
      </c>
      <c r="J8" s="18" t="n">
        <f aca="false">H8*'Unit Economics'!$B$9-Premissas!$B$21</f>
        <v>10424.22558353</v>
      </c>
    </row>
    <row r="9" customFormat="false" ht="15" hidden="false" customHeight="false" outlineLevel="0" collapsed="false">
      <c r="A9" s="24" t="n">
        <v>5</v>
      </c>
      <c r="B9" s="21" t="n">
        <f aca="false">B8*(1-Premissas!$B$6)+Premissas!$B$29</f>
        <v>23.54432905</v>
      </c>
      <c r="C9" s="18" t="n">
        <f aca="false">B9*Premissas!$B$5</f>
        <v>2283.79991785</v>
      </c>
      <c r="D9" s="18" t="n">
        <f aca="false">B9*'Unit Economics'!$B$9-Premissas!$B$21</f>
        <v>1133.5155451463</v>
      </c>
      <c r="E9" s="21" t="n">
        <f aca="false">E8*(1-Premissas!$B$6)+Premissas!$B$30</f>
        <v>70.63298715</v>
      </c>
      <c r="F9" s="18" t="n">
        <f aca="false">E9*Premissas!$B$5</f>
        <v>6851.39975355</v>
      </c>
      <c r="G9" s="18" t="n">
        <f aca="false">E9*'Unit Economics'!$B$9-Premissas!$B$21</f>
        <v>5100.5466354389</v>
      </c>
      <c r="H9" s="21" t="n">
        <f aca="false">H8*(1-Premissas!$B$6)+Premissas!$B$31</f>
        <v>164.81030335</v>
      </c>
      <c r="I9" s="18" t="n">
        <f aca="false">H9*Premissas!$B$5</f>
        <v>15986.59942495</v>
      </c>
      <c r="J9" s="18" t="n">
        <f aca="false">H9*'Unit Economics'!$B$9-Premissas!$B$21</f>
        <v>13034.6088160241</v>
      </c>
    </row>
    <row r="10" customFormat="false" ht="15" hidden="false" customHeight="false" outlineLevel="0" collapsed="false">
      <c r="A10" s="24" t="n">
        <v>6</v>
      </c>
      <c r="B10" s="21" t="n">
        <f aca="false">B9*(1-Premissas!$B$6)+Premissas!$B$29</f>
        <v>27.8379991785</v>
      </c>
      <c r="C10" s="18" t="n">
        <f aca="false">B10*Premissas!$B$5</f>
        <v>2700.2859203145</v>
      </c>
      <c r="D10" s="18" t="n">
        <f aca="false">B10*'Unit Economics'!$B$9-Premissas!$B$21</f>
        <v>1495.24007879191</v>
      </c>
      <c r="E10" s="21" t="n">
        <f aca="false">E9*(1-Premissas!$B$6)+Premissas!$B$30</f>
        <v>83.5139975355</v>
      </c>
      <c r="F10" s="18" t="n">
        <f aca="false">E10*Premissas!$B$5</f>
        <v>8100.8577609435</v>
      </c>
      <c r="G10" s="18" t="n">
        <f aca="false">E10*'Unit Economics'!$B$9-Premissas!$B$21</f>
        <v>6185.72023637573</v>
      </c>
      <c r="H10" s="21" t="n">
        <f aca="false">H9*(1-Premissas!$B$6)+Premissas!$B$31</f>
        <v>194.8659942495</v>
      </c>
      <c r="I10" s="18" t="n">
        <f aca="false">H10*Premissas!$B$5</f>
        <v>18902.0014422015</v>
      </c>
      <c r="J10" s="18" t="n">
        <f aca="false">H10*'Unit Economics'!$B$9-Premissas!$B$21</f>
        <v>15566.6805515434</v>
      </c>
    </row>
    <row r="11" customFormat="false" ht="15" hidden="false" customHeight="false" outlineLevel="0" collapsed="false">
      <c r="A11" s="24" t="n">
        <v>7</v>
      </c>
      <c r="B11" s="21" t="n">
        <f aca="false">B10*(1-Premissas!$B$6)+Premissas!$B$29</f>
        <v>32.002859203145</v>
      </c>
      <c r="C11" s="18" t="n">
        <f aca="false">B11*Premissas!$B$5</f>
        <v>3104.27734270506</v>
      </c>
      <c r="D11" s="18" t="n">
        <f aca="false">B11*'Unit Economics'!$B$9-Premissas!$B$21</f>
        <v>1846.11287642815</v>
      </c>
      <c r="E11" s="21" t="n">
        <f aca="false">E10*(1-Premissas!$B$6)+Premissas!$B$30</f>
        <v>96.008577609435</v>
      </c>
      <c r="F11" s="18" t="n">
        <f aca="false">E11*Premissas!$B$5</f>
        <v>9312.83202811519</v>
      </c>
      <c r="G11" s="18" t="n">
        <f aca="false">E11*'Unit Economics'!$B$9-Premissas!$B$21</f>
        <v>7238.33862928446</v>
      </c>
      <c r="H11" s="21" t="n">
        <f aca="false">H10*(1-Premissas!$B$6)+Premissas!$B$31</f>
        <v>224.020014422015</v>
      </c>
      <c r="I11" s="18" t="n">
        <f aca="false">H11*Premissas!$B$5</f>
        <v>21729.9413989355</v>
      </c>
      <c r="J11" s="18" t="n">
        <f aca="false">H11*'Unit Economics'!$B$9-Premissas!$B$21</f>
        <v>18022.7901349971</v>
      </c>
    </row>
    <row r="12" customFormat="false" ht="15" hidden="false" customHeight="false" outlineLevel="0" collapsed="false">
      <c r="A12" s="24" t="n">
        <v>8</v>
      </c>
      <c r="B12" s="21" t="n">
        <f aca="false">B11*(1-Premissas!$B$6)+Premissas!$B$29</f>
        <v>36.0427734270507</v>
      </c>
      <c r="C12" s="18" t="n">
        <f aca="false">B12*Premissas!$B$5</f>
        <v>3496.14902242391</v>
      </c>
      <c r="D12" s="18" t="n">
        <f aca="false">B12*'Unit Economics'!$B$9-Premissas!$B$21</f>
        <v>2186.45949013531</v>
      </c>
      <c r="E12" s="21" t="n">
        <f aca="false">E11*(1-Premissas!$B$6)+Premissas!$B$30</f>
        <v>108.128320281152</v>
      </c>
      <c r="F12" s="18" t="n">
        <f aca="false">E12*Premissas!$B$5</f>
        <v>10488.4470672717</v>
      </c>
      <c r="G12" s="18" t="n">
        <f aca="false">E12*'Unit Economics'!$B$9-Premissas!$B$21</f>
        <v>8259.37847040593</v>
      </c>
      <c r="H12" s="21" t="n">
        <f aca="false">H11*(1-Premissas!$B$6)+Premissas!$B$31</f>
        <v>252.299413989355</v>
      </c>
      <c r="I12" s="18" t="n">
        <f aca="false">H12*Premissas!$B$5</f>
        <v>24473.0431569674</v>
      </c>
      <c r="J12" s="18" t="n">
        <f aca="false">H12*'Unit Economics'!$B$9-Premissas!$B$21</f>
        <v>20405.2164309472</v>
      </c>
    </row>
    <row r="13" customFormat="false" ht="15" hidden="false" customHeight="false" outlineLevel="0" collapsed="false">
      <c r="A13" s="24" t="n">
        <v>9</v>
      </c>
      <c r="B13" s="21" t="n">
        <f aca="false">B12*(1-Premissas!$B$6)+Premissas!$B$29</f>
        <v>39.9614902242391</v>
      </c>
      <c r="C13" s="18" t="n">
        <f aca="false">B13*Premissas!$B$5</f>
        <v>3876.2645517512</v>
      </c>
      <c r="D13" s="18" t="n">
        <f aca="false">B13*'Unit Economics'!$B$9-Premissas!$B$21</f>
        <v>2516.59570543125</v>
      </c>
      <c r="E13" s="21" t="n">
        <f aca="false">E12*(1-Premissas!$B$6)+Premissas!$B$30</f>
        <v>119.884470672717</v>
      </c>
      <c r="F13" s="18" t="n">
        <f aca="false">E13*Premissas!$B$5</f>
        <v>11628.7936552536</v>
      </c>
      <c r="G13" s="18" t="n">
        <f aca="false">E13*'Unit Economics'!$B$9-Premissas!$B$21</f>
        <v>9249.78711629375</v>
      </c>
      <c r="H13" s="21" t="n">
        <f aca="false">H12*(1-Premissas!$B$6)+Premissas!$B$31</f>
        <v>279.730431569674</v>
      </c>
      <c r="I13" s="18" t="n">
        <f aca="false">H13*Premissas!$B$5</f>
        <v>27133.8518622584</v>
      </c>
      <c r="J13" s="18" t="n">
        <f aca="false">H13*'Unit Economics'!$B$9-Premissas!$B$21</f>
        <v>22716.1699380187</v>
      </c>
    </row>
    <row r="14" customFormat="false" ht="15" hidden="false" customHeight="false" outlineLevel="0" collapsed="false">
      <c r="A14" s="24" t="n">
        <v>10</v>
      </c>
      <c r="B14" s="21" t="n">
        <f aca="false">B13*(1-Premissas!$B$6)+Premissas!$B$29</f>
        <v>43.762645517512</v>
      </c>
      <c r="C14" s="18" t="n">
        <f aca="false">B14*Premissas!$B$5</f>
        <v>4244.97661519866</v>
      </c>
      <c r="D14" s="18" t="n">
        <f aca="false">B14*'Unit Economics'!$B$9-Premissas!$B$21</f>
        <v>2836.82783426831</v>
      </c>
      <c r="E14" s="21" t="n">
        <f aca="false">E13*(1-Premissas!$B$6)+Premissas!$B$30</f>
        <v>131.287936552536</v>
      </c>
      <c r="F14" s="18" t="n">
        <f aca="false">E14*Premissas!$B$5</f>
        <v>12734.929845596</v>
      </c>
      <c r="G14" s="18" t="n">
        <f aca="false">E14*'Unit Economics'!$B$9-Premissas!$B$21</f>
        <v>10210.4835028049</v>
      </c>
      <c r="H14" s="21" t="n">
        <f aca="false">H13*(1-Premissas!$B$6)+Premissas!$B$31</f>
        <v>306.338518622584</v>
      </c>
      <c r="I14" s="18" t="n">
        <f aca="false">H14*Premissas!$B$5</f>
        <v>29714.8363063906</v>
      </c>
      <c r="J14" s="18" t="n">
        <f aca="false">H14*'Unit Economics'!$B$9-Premissas!$B$21</f>
        <v>24957.7948398782</v>
      </c>
    </row>
    <row r="15" customFormat="false" ht="15" hidden="false" customHeight="false" outlineLevel="0" collapsed="false">
      <c r="A15" s="24" t="n">
        <v>11</v>
      </c>
      <c r="B15" s="21" t="n">
        <f aca="false">B14*(1-Premissas!$B$6)+Premissas!$B$29</f>
        <v>47.4497661519866</v>
      </c>
      <c r="C15" s="18" t="n">
        <f aca="false">B15*Premissas!$B$5</f>
        <v>4602.6273167427</v>
      </c>
      <c r="D15" s="18" t="n">
        <f aca="false">B15*'Unit Economics'!$B$9-Premissas!$B$21</f>
        <v>3147.45299924026</v>
      </c>
      <c r="E15" s="21" t="n">
        <f aca="false">E14*(1-Premissas!$B$6)+Premissas!$B$30</f>
        <v>142.34929845596</v>
      </c>
      <c r="F15" s="18" t="n">
        <f aca="false">E15*Premissas!$B$5</f>
        <v>13807.8819502281</v>
      </c>
      <c r="G15" s="18" t="n">
        <f aca="false">E15*'Unit Economics'!$B$9-Premissas!$B$21</f>
        <v>11142.3589977208</v>
      </c>
      <c r="H15" s="21" t="n">
        <f aca="false">H14*(1-Premissas!$B$6)+Premissas!$B$31</f>
        <v>332.148363063906</v>
      </c>
      <c r="I15" s="18" t="n">
        <f aca="false">H15*Premissas!$B$5</f>
        <v>32218.3912171989</v>
      </c>
      <c r="J15" s="18" t="n">
        <f aca="false">H15*'Unit Economics'!$B$9-Premissas!$B$21</f>
        <v>27132.1709946818</v>
      </c>
    </row>
    <row r="16" customFormat="false" ht="15" hidden="false" customHeight="false" outlineLevel="0" collapsed="false">
      <c r="A16" s="24" t="n">
        <v>12</v>
      </c>
      <c r="B16" s="21" t="n">
        <f aca="false">B15*(1-Premissas!$B$6)+Premissas!$B$29</f>
        <v>51.026273167427</v>
      </c>
      <c r="C16" s="18" t="n">
        <f aca="false">B16*Premissas!$B$5</f>
        <v>4949.54849724042</v>
      </c>
      <c r="D16" s="18" t="n">
        <f aca="false">B16*'Unit Economics'!$B$9-Premissas!$B$21</f>
        <v>3448.75940926305</v>
      </c>
      <c r="E16" s="21" t="n">
        <f aca="false">E15*(1-Premissas!$B$6)+Premissas!$B$30</f>
        <v>153.078819502281</v>
      </c>
      <c r="F16" s="18" t="n">
        <f aca="false">E16*Premissas!$B$5</f>
        <v>14848.6454917213</v>
      </c>
      <c r="G16" s="18" t="n">
        <f aca="false">E16*'Unit Economics'!$B$9-Premissas!$B$21</f>
        <v>12046.2782277892</v>
      </c>
      <c r="H16" s="21" t="n">
        <f aca="false">H15*(1-Premissas!$B$6)+Premissas!$B$31</f>
        <v>357.183912171989</v>
      </c>
      <c r="I16" s="18" t="n">
        <f aca="false">H16*Premissas!$B$5</f>
        <v>34646.8394806829</v>
      </c>
      <c r="J16" s="18" t="n">
        <f aca="false">H16*'Unit Economics'!$B$9-Premissas!$B$21</f>
        <v>29241.3158648414</v>
      </c>
    </row>
    <row r="18" customFormat="false" ht="15" hidden="false" customHeight="false" outlineLevel="0" collapsed="false">
      <c r="A18" s="6" t="s">
        <v>93</v>
      </c>
    </row>
    <row r="19" customFormat="false" ht="15" hidden="false" customHeight="false" outlineLevel="0" collapsed="false">
      <c r="A19" s="6" t="s">
        <v>94</v>
      </c>
    </row>
    <row r="20" customFormat="false" ht="15" hidden="false" customHeight="false" outlineLevel="0" collapsed="false">
      <c r="A20" s="6" t="s">
        <v>95</v>
      </c>
    </row>
    <row r="23" customFormat="false" ht="15" hidden="false" customHeight="false" outlineLevel="0" collapsed="false">
      <c r="A23" s="12" t="s">
        <v>43</v>
      </c>
    </row>
    <row r="24" customFormat="false" ht="15" hidden="false" customHeight="false" outlineLevel="0" collapsed="false">
      <c r="A24" s="6" t="s">
        <v>44</v>
      </c>
    </row>
  </sheetData>
  <mergeCells count="3">
    <mergeCell ref="B3:D3"/>
    <mergeCell ref="E3:G3"/>
    <mergeCell ref="H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56"/>
  </cols>
  <sheetData>
    <row r="1" customFormat="false" ht="18.5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25" t="s">
        <v>98</v>
      </c>
      <c r="B4" s="25" t="s">
        <v>99</v>
      </c>
      <c r="C4" s="25" t="s">
        <v>100</v>
      </c>
      <c r="D4" s="25" t="s">
        <v>101</v>
      </c>
    </row>
    <row r="5" customFormat="false" ht="15" hidden="false" customHeight="false" outlineLevel="0" collapsed="false">
      <c r="A5" s="4" t="s">
        <v>102</v>
      </c>
      <c r="B5" s="8" t="n">
        <v>2400</v>
      </c>
      <c r="C5" s="8" t="n">
        <v>2400</v>
      </c>
      <c r="D5" s="6" t="s">
        <v>103</v>
      </c>
    </row>
    <row r="6" customFormat="false" ht="15" hidden="false" customHeight="false" outlineLevel="0" collapsed="false">
      <c r="A6" s="4" t="s">
        <v>104</v>
      </c>
      <c r="B6" s="8" t="n">
        <v>3000</v>
      </c>
      <c r="C6" s="8" t="n">
        <v>6000</v>
      </c>
      <c r="D6" s="6" t="s">
        <v>105</v>
      </c>
    </row>
    <row r="7" customFormat="false" ht="15" hidden="false" customHeight="false" outlineLevel="0" collapsed="false">
      <c r="A7" s="4" t="s">
        <v>106</v>
      </c>
      <c r="B7" s="8" t="n">
        <v>180</v>
      </c>
      <c r="C7" s="8" t="n">
        <v>180</v>
      </c>
      <c r="D7" s="6" t="s">
        <v>107</v>
      </c>
    </row>
    <row r="8" customFormat="false" ht="15" hidden="false" customHeight="false" outlineLevel="0" collapsed="false">
      <c r="A8" s="4" t="s">
        <v>108</v>
      </c>
      <c r="B8" s="8" t="n">
        <v>450</v>
      </c>
      <c r="C8" s="8" t="n">
        <v>450</v>
      </c>
      <c r="D8" s="6" t="s">
        <v>109</v>
      </c>
    </row>
    <row r="9" customFormat="false" ht="15" hidden="false" customHeight="false" outlineLevel="0" collapsed="false">
      <c r="A9" s="4" t="s">
        <v>110</v>
      </c>
      <c r="B9" s="8" t="n">
        <v>1000</v>
      </c>
      <c r="C9" s="8" t="n">
        <v>1000</v>
      </c>
      <c r="D9" s="6" t="s">
        <v>111</v>
      </c>
    </row>
    <row r="10" customFormat="false" ht="15" hidden="false" customHeight="false" outlineLevel="0" collapsed="false">
      <c r="A10" s="9" t="s">
        <v>112</v>
      </c>
      <c r="B10" s="10" t="n">
        <f aca="false">SUM(B5:B9)</f>
        <v>7030</v>
      </c>
      <c r="C10" s="10" t="n">
        <f aca="false">SUM(C5:C9)</f>
        <v>10030</v>
      </c>
    </row>
    <row r="12" customFormat="false" ht="15" hidden="false" customHeight="false" outlineLevel="0" collapsed="false">
      <c r="A12" s="3" t="s">
        <v>113</v>
      </c>
    </row>
    <row r="13" customFormat="false" ht="15" hidden="false" customHeight="false" outlineLevel="0" collapsed="false">
      <c r="A13" s="4" t="s">
        <v>114</v>
      </c>
      <c r="B13" s="17" t="n">
        <f aca="false">C10/Premissas!B21</f>
        <v>11.8</v>
      </c>
      <c r="D13" s="6" t="s">
        <v>115</v>
      </c>
    </row>
    <row r="16" customFormat="false" ht="15" hidden="false" customHeight="false" outlineLevel="0" collapsed="false">
      <c r="A16" s="12" t="s">
        <v>43</v>
      </c>
    </row>
    <row r="17" customFormat="false" ht="15" hidden="false" customHeight="false" outlineLevel="0" collapsed="false">
      <c r="A17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2026-07-31T14:25:12Z</dcterms:created>
  <dc:creator>openpyxl</dc:creator>
  <dc:description/>
  <dc:language>en-US</dc:language>
  <cp:lastModifiedBy/>
  <dcterms:modified xsi:type="dcterms:W3CDTF">2026-07-31T14:25:12Z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